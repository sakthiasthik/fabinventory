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Default Extension="fntdata" ContentType="application/x-fontdata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nano_beacon" sheetId="1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<sst xmlns="http://schemas.openxmlformats.org/spreadsheetml/2006/main" count="131" uniqueCount="111">
  <si>
    <t xml:space="preserve">Bill of Materials</t>
  </si>
  <si>
    <t xml:space="preserve">Source Data From</t>
  </si>
  <si>
    <t xml:space="preserve">nano_beacon.csv</t>
  </si>
  <si>
    <t xml:space="preserve">Project</t>
  </si>
  <si>
    <t xml:space="preserve">TerraBeacon_100</t>
  </si>
  <si>
    <t xml:space="preserve">Creation Date</t>
  </si>
  <si>
    <t xml:space="preserve">Authour</t>
  </si>
  <si>
    <t xml:space="preserve">Sakthi Murugesan</t>
  </si>
  <si>
    <t xml:space="preserve">Print Date</t>
  </si>
  <si>
    <t xml:space="preserve">Reference</t>
  </si>
  <si>
    <t xml:space="preserve">Value</t>
  </si>
  <si>
    <t xml:space="preserve">Footprint</t>
  </si>
  <si>
    <t xml:space="preserve">Manufacturer_Name</t>
  </si>
  <si>
    <t xml:space="preserve">Manufacturer_Part_Number</t>
  </si>
  <si>
    <t xml:space="preserve">Manufacturer_Name_2</t>
  </si>
  <si>
    <t xml:space="preserve">Manufacturer_Part_Number_2</t>
  </si>
  <si>
    <t xml:space="preserve">LCSC_Part</t>
  </si>
  <si>
    <t xml:space="preserve">Qty</t>
  </si>
  <si>
    <t xml:space="preserve">BT1</t>
  </si>
  <si>
    <t xml:space="preserve">CR2032</t>
  </si>
  <si>
    <t xml:space="preserve">BatteryHolder:BS-08-B2AA001_SMD_CR2032</t>
  </si>
  <si>
    <t xml:space="preserve">MYOUNG</t>
  </si>
  <si>
    <t xml:space="preserve">BS-2032-8K SMT</t>
  </si>
  <si>
    <t xml:space="preserve">BS-08-B2AA001</t>
  </si>
  <si>
    <t xml:space="preserve">C964777</t>
  </si>
  <si>
    <t xml:space="preserve">C4,C15</t>
  </si>
  <si>
    <t xml:space="preserve">10uf</t>
  </si>
  <si>
    <t xml:space="preserve">Capacitor_SMD:C_0603_1608Metric</t>
  </si>
  <si>
    <t xml:space="preserve">MULTICOMP PRO</t>
  </si>
  <si>
    <t xml:space="preserve">0603X106M100CT</t>
  </si>
  <si>
    <t xml:space="preserve">YAGEO</t>
  </si>
  <si>
    <t xml:space="preserve">CC0603KRX5R6BB106</t>
  </si>
  <si>
    <t xml:space="preserve">C326057</t>
  </si>
  <si>
    <t xml:space="preserve">C5,C7,C8,C9,C10</t>
  </si>
  <si>
    <t xml:space="preserve">100nf</t>
  </si>
  <si>
    <t xml:space="preserve">MC0603B104K250CT</t>
  </si>
  <si>
    <t xml:space="preserve">CC0603KRX7R9BB104</t>
  </si>
  <si>
    <t xml:space="preserve">C14663</t>
  </si>
  <si>
    <t xml:space="preserve">J1</t>
  </si>
  <si>
    <t xml:space="preserve">Qwiic_Right Angle</t>
  </si>
  <si>
    <t xml:space="preserve">Connector_JST:JST_SH_SM04B-SRSS-TB_1x04-1MP_P1.00mm_Horizontal</t>
  </si>
  <si>
    <t xml:space="preserve">SM04B-SRSS-TB(LF)(SN)</t>
  </si>
  <si>
    <t xml:space="preserve">G-Switch</t>
  </si>
  <si>
    <t xml:space="preserve">GT-A1002WRS-104SBT01</t>
  </si>
  <si>
    <t xml:space="preserve">C41431904</t>
  </si>
  <si>
    <t xml:space="preserve">PWR1</t>
  </si>
  <si>
    <t xml:space="preserve">RED_LED</t>
  </si>
  <si>
    <t xml:space="preserve">LED_SMD:LED_0805_2012Metric</t>
  </si>
  <si>
    <t xml:space="preserve">MP006842</t>
  </si>
  <si>
    <t xml:space="preserve">XINGLIGHT</t>
  </si>
  <si>
    <t xml:space="preserve">XL-2012SURC</t>
  </si>
  <si>
    <t xml:space="preserve">C965812</t>
  </si>
  <si>
    <t xml:space="preserve">R1</t>
  </si>
  <si>
    <t xml:space="preserve">1K</t>
  </si>
  <si>
    <t xml:space="preserve">Resistor_SMD:R_0603_1608Metric</t>
  </si>
  <si>
    <t xml:space="preserve">MCWR06X1001FTL</t>
  </si>
  <si>
    <t xml:space="preserve">UNI-ROYAL(Uniroyal Elec)</t>
  </si>
  <si>
    <t xml:space="preserve">0603WAF1001T5E</t>
  </si>
  <si>
    <t xml:space="preserve">C21190</t>
  </si>
  <si>
    <t xml:space="preserve">R2,R9</t>
  </si>
  <si>
    <t xml:space="preserve">5K1</t>
  </si>
  <si>
    <t xml:space="preserve">MCWR06X5101FTL</t>
  </si>
  <si>
    <t xml:space="preserve">0603WAF5101T5E</t>
  </si>
  <si>
    <t xml:space="preserve">C23186</t>
  </si>
  <si>
    <t xml:space="preserve">R3,R4</t>
  </si>
  <si>
    <t xml:space="preserve">4K7</t>
  </si>
  <si>
    <t xml:space="preserve">MCWR06X4701FTL</t>
  </si>
  <si>
    <t xml:space="preserve">0603WAF4701T5E</t>
  </si>
  <si>
    <t xml:space="preserve">C23162</t>
  </si>
  <si>
    <t xml:space="preserve">R6</t>
  </si>
  <si>
    <t xml:space="preserve">0R</t>
  </si>
  <si>
    <t xml:space="preserve">Resistor_SMD:R_0402_1005Metric</t>
  </si>
  <si>
    <t xml:space="preserve">MCWR04X000 PTL</t>
  </si>
  <si>
    <t xml:space="preserve">0402WGF0000TCE</t>
  </si>
  <si>
    <t xml:space="preserve">C17168</t>
  </si>
  <si>
    <t xml:space="preserve">SW1</t>
  </si>
  <si>
    <t xml:space="preserve">SKRKAGE020</t>
  </si>
  <si>
    <t xml:space="preserve">Button:SW_Push_SPST_NO_Alps_SKRK</t>
  </si>
  <si>
    <t xml:space="preserve">Alps Alpine</t>
  </si>
  <si>
    <t xml:space="preserve">Bossie</t>
  </si>
  <si>
    <t xml:space="preserve">BX-TS-26-3929325T</t>
  </si>
  <si>
    <t xml:space="preserve">C18077675</t>
  </si>
  <si>
    <t xml:space="preserve">U2</t>
  </si>
  <si>
    <t xml:space="preserve">IN100</t>
  </si>
  <si>
    <t xml:space="preserve">Nano_Beacon:IN100</t>
  </si>
  <si>
    <t xml:space="preserve">InPlay</t>
  </si>
  <si>
    <t xml:space="preserve">IN100-Q1-R-RC1I</t>
  </si>
  <si>
    <t xml:space="preserve">U3</t>
  </si>
  <si>
    <t xml:space="preserve">TMP102xxDRL</t>
  </si>
  <si>
    <t xml:space="preserve">Package_TO_SOT_SMD:SOT-563</t>
  </si>
  <si>
    <t xml:space="preserve">TI</t>
  </si>
  <si>
    <t xml:space="preserve">TMP102AIDRLR</t>
  </si>
  <si>
    <t xml:space="preserve">UMW</t>
  </si>
  <si>
    <t xml:space="preserve">TMP102AIDRLR(UMW)</t>
  </si>
  <si>
    <t xml:space="preserve">C5692997</t>
  </si>
  <si>
    <t xml:space="preserve">U4</t>
  </si>
  <si>
    <t xml:space="preserve">SHT4x</t>
  </si>
  <si>
    <t xml:space="preserve">Sensor_Humidity:Sensirion_DFN-4_1.5x1.5mm_P0.8mm_SHT4x_NoCentralPad</t>
  </si>
  <si>
    <t xml:space="preserve">Sensirion</t>
  </si>
  <si>
    <t xml:space="preserve">SHT40-AD1B-R2</t>
  </si>
  <si>
    <t xml:space="preserve">U7</t>
  </si>
  <si>
    <t xml:space="preserve">HDC1080DMBR</t>
  </si>
  <si>
    <t xml:space="preserve">Mems_Sensor:WSON-6-1EP_3x3mm_P0.95mm</t>
  </si>
  <si>
    <t xml:space="preserve">C82227</t>
  </si>
  <si>
    <t xml:space="preserve">Y1</t>
  </si>
  <si>
    <t xml:space="preserve">26MHz</t>
  </si>
  <si>
    <t xml:space="preserve">Crystal:Crystal_SMD_Abracon_ABM8AIG-4Pin_3.2x2.5mm</t>
  </si>
  <si>
    <t xml:space="preserve">ABRACON</t>
  </si>
  <si>
    <t xml:space="preserve">YXC Crystal Oscillators</t>
  </si>
  <si>
    <t xml:space="preserve">OT2EL4C4JI-111OLP-26M</t>
  </si>
  <si>
    <t xml:space="preserve">C5203550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</si>
</sst>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dd/mm/yy"/>
    <numFmt numFmtId="166" formatCode="dd/mm/yy\ hh:mm"/>
  </numFmts>
  <fonts count="10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name val="Ubuntu"/>
      <family val="0"/>
      <charset val="1"/>
    </font>
    <font>
      <sz val="10"/>
      <name val="Ubuntu"/>
      <family val="0"/>
      <charset val="1"/>
    </font>
    <font>
      <b val="true"/>
      <sz val="12"/>
      <name val="Ubuntu"/>
      <family val="0"/>
      <charset val="1"/>
    </font>
    <font>
      <b val="true"/>
      <sz val="11"/>
      <name val="Ubuntu"/>
      <family val="0"/>
      <charset val="1"/>
    </font>
    <font>
      <b val="true"/>
      <sz val="16"/>
      <name val="Franklin Gothic Medium"/>
      <family val="2"/>
      <charset val="1"/>
    </font>
    <font>
      <sz val="11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6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0" borderId="1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5" fontId="5" fillId="0" borderId="1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7" fillId="0" borderId="1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6" fontId="5" fillId="0" borderId="1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8" fillId="0" borderId="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true" indent="0" shrinkToFit="false"/>
      <protection locked="true" hidden="false"/>
    </xf>
    <xf numFmtId="164" fontId="8" fillId="0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4" fontId="9" fillId="0" borderId="1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2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L13" activeCellId="0" sqref="L13"/>
    </sheetView>
  </sheetViews>
  <sheetFormatPr defaultColWidth="11.53515625" defaultRowHeight="12.8" customHeight="true" zeroHeight="false" outlineLevelRow="0" outlineLevelCol="0"/>
  <cols>
    <col collapsed="false" customWidth="true" hidden="false" outlineLevel="0" max="1" min="1" style="1" width="15.9"/>
    <col collapsed="false" customWidth="true" hidden="false" outlineLevel="0" max="2" min="2" style="1" width="15.02"/>
    <col collapsed="false" customWidth="true" hidden="false" outlineLevel="0" max="3" min="3" style="1" width="40.34"/>
    <col collapsed="false" customWidth="true" hidden="false" outlineLevel="0" max="4" min="4" style="1" width="22.86"/>
    <col collapsed="false" customWidth="true" hidden="false" outlineLevel="0" max="5" min="5" style="1" width="27.54"/>
    <col collapsed="false" customWidth="true" hidden="false" outlineLevel="0" max="6" min="6" style="1" width="20.45"/>
    <col collapsed="false" customWidth="true" hidden="false" outlineLevel="0" max="7" min="7" style="1" width="25.64"/>
    <col collapsed="false" customWidth="true" hidden="false" outlineLevel="0" max="8" min="8" style="1" width="16.12"/>
    <col collapsed="false" customWidth="true" hidden="false" outlineLevel="0" max="9" min="9" style="2" width="8.21"/>
  </cols>
  <sheetData>
    <row r="1" customFormat="false" ht="17.35" hidden="false" customHeight="true" outlineLevel="0" collapsed="false">
      <c r="A1" s="3" t="s">
        <v>0</v>
      </c>
      <c r="B1" s="3"/>
      <c r="C1" s="4"/>
      <c r="D1" s="4"/>
      <c r="E1" s="4"/>
      <c r="F1" s="4"/>
      <c r="G1" s="4"/>
      <c r="H1" s="4"/>
      <c r="I1" s="3"/>
    </row>
    <row r="2" customFormat="false" ht="17.35" hidden="false" customHeight="false" outlineLevel="0" collapsed="false">
      <c r="A2" s="3"/>
      <c r="B2" s="3"/>
      <c r="C2" s="4"/>
      <c r="D2" s="4"/>
      <c r="E2" s="4"/>
      <c r="F2" s="4"/>
      <c r="G2" s="4"/>
      <c r="H2" s="4"/>
      <c r="I2" s="3"/>
    </row>
    <row r="3" customFormat="false" ht="18.65" hidden="false" customHeight="true" outlineLevel="0" collapsed="false">
      <c r="A3" s="5" t="s">
        <v>1</v>
      </c>
      <c r="B3" s="5"/>
      <c r="C3" s="6" t="s">
        <v>2</v>
      </c>
      <c r="D3" s="6"/>
      <c r="E3" s="7" t="n">
        <v>45930</v>
      </c>
      <c r="F3" s="7"/>
      <c r="G3" s="7"/>
      <c r="H3" s="7"/>
      <c r="I3" s="5"/>
    </row>
    <row r="4" customFormat="false" ht="18.65" hidden="false" customHeight="true" outlineLevel="0" collapsed="false">
      <c r="A4" s="5" t="s">
        <v>3</v>
      </c>
      <c r="B4" s="5"/>
      <c r="C4" s="6" t="s">
        <v>4</v>
      </c>
      <c r="D4" s="8" t="s">
        <v>5</v>
      </c>
      <c r="E4" s="9" t="n">
        <f aca="true">IF(E3="", NOW(), E3)</f>
        <v>45930</v>
      </c>
      <c r="F4" s="9"/>
      <c r="G4" s="9"/>
      <c r="H4" s="9"/>
      <c r="I4" s="5"/>
    </row>
    <row r="5" customFormat="false" ht="18.65" hidden="false" customHeight="true" outlineLevel="0" collapsed="false">
      <c r="A5" s="5" t="s">
        <v>6</v>
      </c>
      <c r="B5" s="5"/>
      <c r="C5" s="6" t="s">
        <v>7</v>
      </c>
      <c r="D5" s="8" t="s">
        <v>8</v>
      </c>
      <c r="E5" s="9" t="n">
        <f aca="true">NOW()</f>
        <v>45934.4536368434</v>
      </c>
      <c r="F5" s="9"/>
      <c r="G5" s="9"/>
      <c r="H5" s="9"/>
      <c r="I5" s="5"/>
    </row>
    <row r="8" s="12" customFormat="true" ht="37.3" hidden="false" customHeight="false" outlineLevel="0" collapsed="false">
      <c r="A8" s="10" t="s">
        <v>9</v>
      </c>
      <c r="B8" s="10" t="s">
        <v>10</v>
      </c>
      <c r="C8" s="10" t="s">
        <v>11</v>
      </c>
      <c r="D8" s="10" t="s">
        <v>12</v>
      </c>
      <c r="E8" s="10" t="s">
        <v>13</v>
      </c>
      <c r="F8" s="10" t="s">
        <v>14</v>
      </c>
      <c r="G8" s="10" t="s">
        <v>15</v>
      </c>
      <c r="H8" s="10" t="s">
        <v>16</v>
      </c>
      <c r="I8" s="10" t="s">
        <v>17</v>
      </c>
      <c r="J8" s="11"/>
    </row>
    <row r="9" customFormat="false" ht="26.85" hidden="false" customHeight="false" outlineLevel="0" collapsed="false">
      <c r="A9" s="13" t="s">
        <v>18</v>
      </c>
      <c r="B9" s="13" t="s">
        <v>19</v>
      </c>
      <c r="C9" s="13" t="s">
        <v>20</v>
      </c>
      <c r="D9" s="13" t="s">
        <v>21</v>
      </c>
      <c r="E9" s="13" t="s">
        <v>22</v>
      </c>
      <c r="F9" s="13" t="s">
        <v>21</v>
      </c>
      <c r="G9" s="13" t="s">
        <v>23</v>
      </c>
      <c r="H9" s="13" t="s">
        <v>24</v>
      </c>
      <c r="I9" s="14" t="n">
        <v>1</v>
      </c>
    </row>
    <row r="10" customFormat="false" ht="13.8" hidden="false" customHeight="false" outlineLevel="0" collapsed="false">
      <c r="A10" s="13" t="s">
        <v>25</v>
      </c>
      <c r="B10" s="13" t="s">
        <v>26</v>
      </c>
      <c r="C10" s="13" t="s">
        <v>27</v>
      </c>
      <c r="D10" s="13" t="s">
        <v>28</v>
      </c>
      <c r="E10" s="13" t="s">
        <v>29</v>
      </c>
      <c r="F10" s="13" t="s">
        <v>30</v>
      </c>
      <c r="G10" s="13" t="s">
        <v>31</v>
      </c>
      <c r="H10" s="13" t="s">
        <v>32</v>
      </c>
      <c r="I10" s="14" t="n">
        <v>2</v>
      </c>
    </row>
    <row r="11" customFormat="false" ht="26.85" hidden="false" customHeight="false" outlineLevel="0" collapsed="false">
      <c r="A11" s="13" t="s">
        <v>33</v>
      </c>
      <c r="B11" s="13" t="s">
        <v>34</v>
      </c>
      <c r="C11" s="13" t="s">
        <v>27</v>
      </c>
      <c r="D11" s="13" t="s">
        <v>28</v>
      </c>
      <c r="E11" s="13" t="s">
        <v>35</v>
      </c>
      <c r="F11" s="13" t="s">
        <v>30</v>
      </c>
      <c r="G11" s="13" t="s">
        <v>36</v>
      </c>
      <c r="H11" s="13" t="s">
        <v>37</v>
      </c>
      <c r="I11" s="14" t="n">
        <v>5</v>
      </c>
    </row>
    <row r="12" customFormat="false" ht="26.85" hidden="false" customHeight="false" outlineLevel="0" collapsed="false">
      <c r="A12" s="13" t="s">
        <v>38</v>
      </c>
      <c r="B12" s="13" t="s">
        <v>39</v>
      </c>
      <c r="C12" s="13" t="s">
        <v>40</v>
      </c>
      <c r="D12" s="13" t="s">
        <v>41</v>
      </c>
      <c r="E12" s="13" t="s">
        <v>41</v>
      </c>
      <c r="F12" s="13" t="s">
        <v>42</v>
      </c>
      <c r="G12" s="13" t="s">
        <v>43</v>
      </c>
      <c r="H12" s="13" t="s">
        <v>44</v>
      </c>
      <c r="I12" s="14" t="n">
        <v>1</v>
      </c>
    </row>
    <row r="13" customFormat="false" ht="26.85" hidden="false" customHeight="false" outlineLevel="0" collapsed="false">
      <c r="A13" s="13" t="s">
        <v>45</v>
      </c>
      <c r="B13" s="13" t="s">
        <v>46</v>
      </c>
      <c r="C13" s="13" t="s">
        <v>47</v>
      </c>
      <c r="D13" s="13" t="s">
        <v>28</v>
      </c>
      <c r="E13" s="13" t="s">
        <v>48</v>
      </c>
      <c r="F13" s="13" t="s">
        <v>49</v>
      </c>
      <c r="G13" s="13" t="s">
        <v>50</v>
      </c>
      <c r="H13" s="13" t="s">
        <v>51</v>
      </c>
      <c r="I13" s="14" t="n">
        <v>1</v>
      </c>
    </row>
    <row r="14" customFormat="false" ht="26.85" hidden="false" customHeight="false" outlineLevel="0" collapsed="false">
      <c r="A14" s="13" t="s">
        <v>52</v>
      </c>
      <c r="B14" s="13" t="s">
        <v>53</v>
      </c>
      <c r="C14" s="13" t="s">
        <v>54</v>
      </c>
      <c r="D14" s="13" t="s">
        <v>28</v>
      </c>
      <c r="E14" s="13" t="s">
        <v>55</v>
      </c>
      <c r="F14" s="13" t="s">
        <v>56</v>
      </c>
      <c r="G14" s="13" t="s">
        <v>57</v>
      </c>
      <c r="H14" s="13" t="s">
        <v>58</v>
      </c>
      <c r="I14" s="14" t="n">
        <v>1</v>
      </c>
    </row>
    <row r="15" customFormat="false" ht="26.85" hidden="false" customHeight="false" outlineLevel="0" collapsed="false">
      <c r="A15" s="13" t="s">
        <v>59</v>
      </c>
      <c r="B15" s="13" t="s">
        <v>60</v>
      </c>
      <c r="C15" s="13" t="s">
        <v>54</v>
      </c>
      <c r="D15" s="13" t="s">
        <v>28</v>
      </c>
      <c r="E15" s="13" t="s">
        <v>61</v>
      </c>
      <c r="F15" s="13" t="s">
        <v>56</v>
      </c>
      <c r="G15" s="13" t="s">
        <v>62</v>
      </c>
      <c r="H15" s="13" t="s">
        <v>63</v>
      </c>
      <c r="I15" s="14" t="n">
        <v>2</v>
      </c>
    </row>
    <row r="16" customFormat="false" ht="26.85" hidden="false" customHeight="false" outlineLevel="0" collapsed="false">
      <c r="A16" s="13" t="s">
        <v>64</v>
      </c>
      <c r="B16" s="13" t="s">
        <v>65</v>
      </c>
      <c r="C16" s="13" t="s">
        <v>54</v>
      </c>
      <c r="D16" s="13" t="s">
        <v>28</v>
      </c>
      <c r="E16" s="13" t="s">
        <v>66</v>
      </c>
      <c r="F16" s="13" t="s">
        <v>56</v>
      </c>
      <c r="G16" s="13" t="s">
        <v>67</v>
      </c>
      <c r="H16" s="13" t="s">
        <v>68</v>
      </c>
      <c r="I16" s="14" t="n">
        <v>2</v>
      </c>
    </row>
    <row r="17" customFormat="false" ht="26.85" hidden="false" customHeight="false" outlineLevel="0" collapsed="false">
      <c r="A17" s="13" t="s">
        <v>69</v>
      </c>
      <c r="B17" s="13" t="s">
        <v>70</v>
      </c>
      <c r="C17" s="13" t="s">
        <v>71</v>
      </c>
      <c r="D17" s="13" t="s">
        <v>28</v>
      </c>
      <c r="E17" s="13" t="s">
        <v>72</v>
      </c>
      <c r="F17" s="13" t="s">
        <v>56</v>
      </c>
      <c r="G17" s="13" t="s">
        <v>73</v>
      </c>
      <c r="H17" s="13" t="s">
        <v>74</v>
      </c>
      <c r="I17" s="14" t="n">
        <v>1</v>
      </c>
    </row>
    <row r="18" customFormat="false" ht="14.15" hidden="false" customHeight="false" outlineLevel="0" collapsed="false">
      <c r="A18" s="13" t="s">
        <v>75</v>
      </c>
      <c r="B18" s="13" t="s">
        <v>76</v>
      </c>
      <c r="C18" s="13" t="s">
        <v>77</v>
      </c>
      <c r="D18" s="13" t="s">
        <v>78</v>
      </c>
      <c r="E18" s="13" t="s">
        <v>76</v>
      </c>
      <c r="F18" s="13" t="s">
        <v>79</v>
      </c>
      <c r="G18" s="13" t="s">
        <v>80</v>
      </c>
      <c r="H18" s="13" t="s">
        <v>81</v>
      </c>
      <c r="I18" s="14" t="n">
        <v>1</v>
      </c>
    </row>
    <row r="19" customFormat="false" ht="14.15" hidden="false" customHeight="false" outlineLevel="0" collapsed="false">
      <c r="A19" s="13" t="s">
        <v>82</v>
      </c>
      <c r="B19" s="13" t="s">
        <v>83</v>
      </c>
      <c r="C19" s="13" t="s">
        <v>84</v>
      </c>
      <c r="D19" s="13" t="s">
        <v>85</v>
      </c>
      <c r="E19" s="13" t="s">
        <v>86</v>
      </c>
      <c r="F19" s="13"/>
      <c r="G19" s="13"/>
      <c r="H19" s="13"/>
      <c r="I19" s="14" t="n">
        <v>1</v>
      </c>
    </row>
    <row r="20" customFormat="false" ht="14.15" hidden="false" customHeight="false" outlineLevel="0" collapsed="false">
      <c r="A20" s="13" t="s">
        <v>87</v>
      </c>
      <c r="B20" s="13" t="s">
        <v>88</v>
      </c>
      <c r="C20" s="13" t="s">
        <v>89</v>
      </c>
      <c r="D20" s="13" t="s">
        <v>90</v>
      </c>
      <c r="E20" s="13" t="s">
        <v>91</v>
      </c>
      <c r="F20" s="13" t="s">
        <v>92</v>
      </c>
      <c r="G20" s="13" t="s">
        <v>93</v>
      </c>
      <c r="H20" s="13" t="s">
        <v>94</v>
      </c>
      <c r="I20" s="14" t="n">
        <v>1</v>
      </c>
    </row>
    <row r="21" customFormat="false" ht="26.85" hidden="false" customHeight="false" outlineLevel="0" collapsed="false">
      <c r="A21" s="13" t="s">
        <v>95</v>
      </c>
      <c r="B21" s="13" t="s">
        <v>96</v>
      </c>
      <c r="C21" s="13" t="s">
        <v>97</v>
      </c>
      <c r="D21" s="13" t="s">
        <v>98</v>
      </c>
      <c r="E21" s="13" t="s">
        <v>99</v>
      </c>
      <c r="F21" s="13"/>
      <c r="G21" s="13"/>
      <c r="H21" s="13"/>
      <c r="I21" s="14" t="n">
        <v>1</v>
      </c>
    </row>
    <row r="22" customFormat="false" ht="26.85" hidden="false" customHeight="false" outlineLevel="0" collapsed="false">
      <c r="A22" s="13" t="s">
        <v>100</v>
      </c>
      <c r="B22" s="13" t="s">
        <v>101</v>
      </c>
      <c r="C22" s="13" t="s">
        <v>102</v>
      </c>
      <c r="D22" s="13" t="s">
        <v>90</v>
      </c>
      <c r="E22" s="13" t="s">
        <v>101</v>
      </c>
      <c r="F22" s="13" t="s">
        <v>90</v>
      </c>
      <c r="G22" s="13" t="s">
        <v>101</v>
      </c>
      <c r="H22" s="13" t="s">
        <v>103</v>
      </c>
      <c r="I22" s="14" t="n">
        <v>1</v>
      </c>
    </row>
    <row r="23" customFormat="false" ht="26.85" hidden="false" customHeight="false" outlineLevel="0" collapsed="false">
      <c r="A23" s="13" t="s">
        <v>104</v>
      </c>
      <c r="B23" s="13" t="s">
        <v>105</v>
      </c>
      <c r="C23" s="13" t="s">
        <v>106</v>
      </c>
      <c r="D23" s="13" t="s">
        <v>107</v>
      </c>
      <c r="E23" s="13"/>
      <c r="F23" s="13" t="s">
        <v>108</v>
      </c>
      <c r="G23" s="13" t="s">
        <v>109</v>
      </c>
      <c r="H23" s="13" t="s">
        <v>110</v>
      </c>
      <c r="I23" s="14" t="n">
        <v>1</v>
      </c>
    </row>
    <row r="24" customFormat="false" ht="26.85" hidden="false" customHeight="false" outlineLevel="0" collapsed="false"/>
  </sheetData>
  <mergeCells count="4">
    <mergeCell ref="A1:B2"/>
    <mergeCell ref="A3:B3"/>
    <mergeCell ref="A4:B4"/>
    <mergeCell ref="A5:B5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LibreOffice/25.8.1.1$Windows_X86_64 LibreOffice_project/54047653041915e595ad4e45cccea684809c77b5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en-IN</dc:language>
  <cp:lastModifiedBy/>
  <dcterms:modified xsi:type="dcterms:W3CDTF">2025-10-04T10:53:31Z</dcterms:modified>
  <cp:revision>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