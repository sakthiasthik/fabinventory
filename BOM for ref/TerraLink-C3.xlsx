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rraLink-C3_lcsc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<sst xmlns="http://schemas.openxmlformats.org/spreadsheetml/2006/main" count="264" uniqueCount="211">
  <si>
    <t xml:space="preserve">Bill of Materials</t>
  </si>
  <si>
    <t xml:space="preserve">Source Data From</t>
  </si>
  <si>
    <t xml:space="preserve">ec200u_esp32_c3.csv</t>
  </si>
  <si>
    <t xml:space="preserve">Project</t>
  </si>
  <si>
    <t xml:space="preserve">TerraLink-C3</t>
  </si>
  <si>
    <t xml:space="preserve">Creation Date</t>
  </si>
  <si>
    <t xml:space="preserve">Authour</t>
  </si>
  <si>
    <t xml:space="preserve">Sakthi Murugesan</t>
  </si>
  <si>
    <t xml:space="preserve">Print Date</t>
  </si>
  <si>
    <t xml:space="preserve">SI.No</t>
  </si>
  <si>
    <t xml:space="preserve">Reference</t>
  </si>
  <si>
    <t xml:space="preserve">Value</t>
  </si>
  <si>
    <t xml:space="preserve">Footprint</t>
  </si>
  <si>
    <t xml:space="preserve">Manufacturer_Part_Number</t>
  </si>
  <si>
    <t xml:space="preserve">Manufacturer_Name</t>
  </si>
  <si>
    <t xml:space="preserve">Manufacturer_Part_Number_LCSC</t>
  </si>
  <si>
    <t xml:space="preserve">Manufacturer_Name_LCSC</t>
  </si>
  <si>
    <t xml:space="preserve">LCSC Part</t>
  </si>
  <si>
    <t xml:space="preserve">Qty</t>
  </si>
  <si>
    <t xml:space="preserve">DNP</t>
  </si>
  <si>
    <t xml:space="preserve">AE1,AE2,AE3</t>
  </si>
  <si>
    <t xml:space="preserve">Antenna_Shield</t>
  </si>
  <si>
    <t xml:space="preserve">ANT:CONUFL001-SMD-T</t>
  </si>
  <si>
    <t xml:space="preserve">CONUFL001-SMD-T</t>
  </si>
  <si>
    <t xml:space="preserve">TE Connectivity</t>
  </si>
  <si>
    <t xml:space="preserve">BWU.FL-IPEX1</t>
  </si>
  <si>
    <t xml:space="preserve">BAT WIRELESS</t>
  </si>
  <si>
    <t xml:space="preserve">C5137195</t>
  </si>
  <si>
    <t xml:space="preserve">AE4</t>
  </si>
  <si>
    <t xml:space="preserve">ADCH002/MAN0826C230</t>
  </si>
  <si>
    <t xml:space="preserve">ANT:ADCH002</t>
  </si>
  <si>
    <t xml:space="preserve">ADCH002 / MAN0826C230</t>
  </si>
  <si>
    <t xml:space="preserve">MyAntenna / MEGSINE</t>
  </si>
  <si>
    <t xml:space="preserve">ADCH002</t>
  </si>
  <si>
    <t xml:space="preserve">MyAntenna</t>
  </si>
  <si>
    <t xml:space="preserve">C22467621</t>
  </si>
  <si>
    <t xml:space="preserve">AE5</t>
  </si>
  <si>
    <t xml:space="preserve">YPGS001AA</t>
  </si>
  <si>
    <t xml:space="preserve">ANT:YPGS001AA</t>
  </si>
  <si>
    <t xml:space="preserve">Quectel</t>
  </si>
  <si>
    <t xml:space="preserve">BOOT1,PWK1,RST1</t>
  </si>
  <si>
    <t xml:space="preserve">SKRKAGE020</t>
  </si>
  <si>
    <t xml:space="preserve">Button_Switch_SMD:SW_Push_SPST_NO_Alps_SKRK</t>
  </si>
  <si>
    <t xml:space="preserve">Alps Alpine</t>
  </si>
  <si>
    <t xml:space="preserve">BX-TS-26-3929325T</t>
  </si>
  <si>
    <t xml:space="preserve">Bossie</t>
  </si>
  <si>
    <t xml:space="preserve">C18077675</t>
  </si>
  <si>
    <t xml:space="preserve">C1,C2,C6,C7,C8,C9,C10,C27</t>
  </si>
  <si>
    <t xml:space="preserve">22uf/25V</t>
  </si>
  <si>
    <t xml:space="preserve">Capacitor_SMD:C_1206_3216Metric</t>
  </si>
  <si>
    <t xml:space="preserve">CL31A226KAHNNNE</t>
  </si>
  <si>
    <t xml:space="preserve">SAMSUNG ELECTRO-MECHANICS</t>
  </si>
  <si>
    <t xml:space="preserve">Samsung Electro-Mechanics</t>
  </si>
  <si>
    <t xml:space="preserve">C12891</t>
  </si>
  <si>
    <t xml:space="preserve">C4,C11,C12,C16,C20,C30</t>
  </si>
  <si>
    <t xml:space="preserve">100nf</t>
  </si>
  <si>
    <t xml:space="preserve">Capacitor_SMD:C_0603_1608Metric</t>
  </si>
  <si>
    <t xml:space="preserve">MC0603B104K250CT</t>
  </si>
  <si>
    <t xml:space="preserve">MULTICOMP PRO</t>
  </si>
  <si>
    <t xml:space="preserve">CC0603KRX7R9BB104</t>
  </si>
  <si>
    <t xml:space="preserve">YAGEO</t>
  </si>
  <si>
    <t xml:space="preserve">C14663</t>
  </si>
  <si>
    <t xml:space="preserve">C23</t>
  </si>
  <si>
    <t xml:space="preserve">10uf/25V</t>
  </si>
  <si>
    <t xml:space="preserve">Capacitor_Tantalum_SMD:CP_EIA-6032-28_Kemet-C</t>
  </si>
  <si>
    <t xml:space="preserve">TAJC106K025RNJ</t>
  </si>
  <si>
    <t xml:space="preserve">KYOCERA AVX</t>
  </si>
  <si>
    <t xml:space="preserve">C7210</t>
  </si>
  <si>
    <t xml:space="preserve">C25,C26</t>
  </si>
  <si>
    <t xml:space="preserve">100uf/6V3</t>
  </si>
  <si>
    <t xml:space="preserve">Capacitor_Tantalum_SMD:CP_EIA-3528-21_Kemet-B</t>
  </si>
  <si>
    <t xml:space="preserve">TC212B107K006B</t>
  </si>
  <si>
    <t xml:space="preserve">Shenzhen Sunlord</t>
  </si>
  <si>
    <t xml:space="preserve">C124860</t>
  </si>
  <si>
    <t xml:space="preserve">JLCparts</t>
  </si>
  <si>
    <t xml:space="preserve">C28,C29</t>
  </si>
  <si>
    <t xml:space="preserve">10uf</t>
  </si>
  <si>
    <t xml:space="preserve">Capacitor_SMD:C_0805_2012Metric</t>
  </si>
  <si>
    <t xml:space="preserve"> CL21A106KAYNNNG</t>
  </si>
  <si>
    <t xml:space="preserve">CL21A106KAYNNNE</t>
  </si>
  <si>
    <t xml:space="preserve">C15850</t>
  </si>
  <si>
    <t xml:space="preserve">C31</t>
  </si>
  <si>
    <t xml:space="preserve">100pf</t>
  </si>
  <si>
    <t xml:space="preserve">MC0603N101J500CT</t>
  </si>
  <si>
    <t xml:space="preserve">CC0603JRNPO9BN101</t>
  </si>
  <si>
    <t xml:space="preserve">C14665</t>
  </si>
  <si>
    <t xml:space="preserve">D4,TX1</t>
  </si>
  <si>
    <t xml:space="preserve">BLUE_LED</t>
  </si>
  <si>
    <t xml:space="preserve">LED_SMD:LED_0805_2012Metric</t>
  </si>
  <si>
    <t xml:space="preserve">MP000442</t>
  </si>
  <si>
    <t xml:space="preserve">XL-2012UBC</t>
  </si>
  <si>
    <t xml:space="preserve">XINGLIGHT</t>
  </si>
  <si>
    <t xml:space="preserve">C965817</t>
  </si>
  <si>
    <t xml:space="preserve">D5,D6,IO1,PWR1,RX1</t>
  </si>
  <si>
    <t xml:space="preserve">RED_LED</t>
  </si>
  <si>
    <t xml:space="preserve">MP006842</t>
  </si>
  <si>
    <t xml:space="preserve">XL-2012SURC</t>
  </si>
  <si>
    <t xml:space="preserve">C965812</t>
  </si>
  <si>
    <t xml:space="preserve">ESP1,GSM1</t>
  </si>
  <si>
    <t xml:space="preserve">USB4105 - Type C USB 2.0 Connector</t>
  </si>
  <si>
    <t xml:space="preserve">USB:USB_C_Receptacle_Palconn_UTC16-G</t>
  </si>
  <si>
    <t xml:space="preserve">USB4105-15-A-120</t>
  </si>
  <si>
    <t xml:space="preserve">GCT</t>
  </si>
  <si>
    <t xml:space="preserve">GT-USB-7010ASV</t>
  </si>
  <si>
    <t xml:space="preserve">G-Switch</t>
  </si>
  <si>
    <t xml:space="preserve">C2988369</t>
  </si>
  <si>
    <t xml:space="preserve">IC1</t>
  </si>
  <si>
    <t xml:space="preserve">EC200U</t>
  </si>
  <si>
    <t xml:space="preserve">wireless_network:EG-21</t>
  </si>
  <si>
    <t xml:space="preserve">IC2</t>
  </si>
  <si>
    <t xml:space="preserve">ESP32-C3-WROOM-02</t>
  </si>
  <si>
    <t xml:space="preserve">Espressif:ESP32-C3-WROOM-02</t>
  </si>
  <si>
    <t xml:space="preserve">ESP-C3-WROOM-02</t>
  </si>
  <si>
    <t xml:space="preserve">Espressif</t>
  </si>
  <si>
    <t xml:space="preserve">L1</t>
  </si>
  <si>
    <t xml:space="preserve">4R7uH</t>
  </si>
  <si>
    <t xml:space="preserve">Inductor:L_APV_APH0650_6045</t>
  </si>
  <si>
    <t xml:space="preserve">ASPI-0630LR-4R7M</t>
  </si>
  <si>
    <t xml:space="preserve">Abracon LLC</t>
  </si>
  <si>
    <t xml:space="preserve">CYA0630-4.7UH</t>
  </si>
  <si>
    <t xml:space="preserve">SHOU HAN</t>
  </si>
  <si>
    <t xml:space="preserve">C5189748</t>
  </si>
  <si>
    <t xml:space="preserve">L2</t>
  </si>
  <si>
    <t xml:space="preserve">47nH</t>
  </si>
  <si>
    <t xml:space="preserve">Inductor_SMD:L_0603_1608Metric</t>
  </si>
  <si>
    <t xml:space="preserve">LQG18HN47NJ00D</t>
  </si>
  <si>
    <t xml:space="preserve"> MURATA</t>
  </si>
  <si>
    <t xml:space="preserve">CMI160808V47NKT</t>
  </si>
  <si>
    <t xml:space="preserve">FH (Guangdong Fenghua Advanced Tech)</t>
  </si>
  <si>
    <t xml:space="preserve">C3032610</t>
  </si>
  <si>
    <t xml:space="preserve">Q1,Q2,Q3</t>
  </si>
  <si>
    <t xml:space="preserve">BC547</t>
  </si>
  <si>
    <t xml:space="preserve">Package_TO_SOT_SMD:SOT-23</t>
  </si>
  <si>
    <t xml:space="preserve">Q4,Q5</t>
  </si>
  <si>
    <t xml:space="preserve">SI2302</t>
  </si>
  <si>
    <t xml:space="preserve">Vishay Siliconix</t>
  </si>
  <si>
    <t xml:space="preserve">AO3400</t>
  </si>
  <si>
    <t xml:space="preserve">KEXIN</t>
  </si>
  <si>
    <t xml:space="preserve">C382311</t>
  </si>
  <si>
    <t xml:space="preserve">Q6</t>
  </si>
  <si>
    <t xml:space="preserve">SI2301</t>
  </si>
  <si>
    <t xml:space="preserve">Package_TO_SOT_SMD:SOT-23-3</t>
  </si>
  <si>
    <t xml:space="preserve">AO3401</t>
  </si>
  <si>
    <t xml:space="preserve">C382312</t>
  </si>
  <si>
    <t xml:space="preserve">Q7</t>
  </si>
  <si>
    <t xml:space="preserve">DMG6601LVT-7</t>
  </si>
  <si>
    <t xml:space="preserve">Package_TO_SOT_SMD:SOT-23-6</t>
  </si>
  <si>
    <t xml:space="preserve"> DIODES INC.</t>
  </si>
  <si>
    <t xml:space="preserve">Diodes Incorporated</t>
  </si>
  <si>
    <t xml:space="preserve">C278728</t>
  </si>
  <si>
    <t xml:space="preserve">R1,R2,R4,R9,R10,R21,R23, R27</t>
  </si>
  <si>
    <t xml:space="preserve">5K1</t>
  </si>
  <si>
    <t xml:space="preserve">Resistor_SMD:R_0603_1608Metric</t>
  </si>
  <si>
    <t xml:space="preserve">MCWR06X5101FTL</t>
  </si>
  <si>
    <t xml:space="preserve">0603WAF5101T5E</t>
  </si>
  <si>
    <t xml:space="preserve">UNI-ROYAL(Uniroyal Elec)</t>
  </si>
  <si>
    <t xml:space="preserve">C23186</t>
  </si>
  <si>
    <t xml:space="preserve">R3,R5,R6,R17,R18,R19,R22, R24,R26,R29,R30,R31,R32</t>
  </si>
  <si>
    <t xml:space="preserve">0R</t>
  </si>
  <si>
    <t xml:space="preserve">MCWR06X000 PTL</t>
  </si>
  <si>
    <t xml:space="preserve">0603WAF0000T5E</t>
  </si>
  <si>
    <t xml:space="preserve">C21189</t>
  </si>
  <si>
    <t xml:space="preserve">R7,R20,R25,R28,R33,R36</t>
  </si>
  <si>
    <t xml:space="preserve">10K</t>
  </si>
  <si>
    <t xml:space="preserve">MCWR06X1002FTL</t>
  </si>
  <si>
    <t xml:space="preserve">0603WAF1002T5E</t>
  </si>
  <si>
    <t xml:space="preserve">C25804</t>
  </si>
  <si>
    <t xml:space="preserve">R8</t>
  </si>
  <si>
    <t xml:space="preserve">56K</t>
  </si>
  <si>
    <t xml:space="preserve">MCWR06X5602FTL</t>
  </si>
  <si>
    <t xml:space="preserve">0603WAF5602T5E</t>
  </si>
  <si>
    <t xml:space="preserve">C23206</t>
  </si>
  <si>
    <t xml:space="preserve">R11,R12,R13</t>
  </si>
  <si>
    <t xml:space="preserve">4K7</t>
  </si>
  <si>
    <t xml:space="preserve">MCWR06X4701FTL</t>
  </si>
  <si>
    <t xml:space="preserve">0603WAF4701T5E</t>
  </si>
  <si>
    <t xml:space="preserve">C23162</t>
  </si>
  <si>
    <t xml:space="preserve">R14,R15,R16</t>
  </si>
  <si>
    <t xml:space="preserve">1K</t>
  </si>
  <si>
    <t xml:space="preserve">MCWR06X1001FTL</t>
  </si>
  <si>
    <t xml:space="preserve">0603WAF1001T5E</t>
  </si>
  <si>
    <t xml:space="preserve">C21190</t>
  </si>
  <si>
    <t xml:space="preserve">R35</t>
  </si>
  <si>
    <t xml:space="preserve">10R</t>
  </si>
  <si>
    <t xml:space="preserve">MCWR06X10R0FTL</t>
  </si>
  <si>
    <t xml:space="preserve">0603WAF100JT5E</t>
  </si>
  <si>
    <t xml:space="preserve">C22859</t>
  </si>
  <si>
    <t xml:space="preserve">U1</t>
  </si>
  <si>
    <t xml:space="preserve">SY81103</t>
  </si>
  <si>
    <t xml:space="preserve">SY81103ABT</t>
  </si>
  <si>
    <t xml:space="preserve">Silergy Corp</t>
  </si>
  <si>
    <t xml:space="preserve">U3</t>
  </si>
  <si>
    <t xml:space="preserve">NXB0104BQ-Q100X</t>
  </si>
  <si>
    <t xml:space="preserve">Nexperia:NXB0104BQQ100X</t>
  </si>
  <si>
    <t xml:space="preserve">Nexperia</t>
  </si>
  <si>
    <t xml:space="preserve">C551617</t>
  </si>
  <si>
    <t xml:space="preserve">U4</t>
  </si>
  <si>
    <t xml:space="preserve">6-pin_Nano_SIM_CARD_holder</t>
  </si>
  <si>
    <t xml:space="preserve">SIM Card Holder:KLS1-SIM-076_NANO_Push</t>
  </si>
  <si>
    <t xml:space="preserve">KLS1-SIM-076</t>
  </si>
  <si>
    <t xml:space="preserve">KLS</t>
  </si>
  <si>
    <t xml:space="preserve">NANO SIM TL6P H1.35</t>
  </si>
  <si>
    <t xml:space="preserve">C7529385</t>
  </si>
  <si>
    <t xml:space="preserve">U5</t>
  </si>
  <si>
    <t xml:space="preserve">AMS1117-3.3</t>
  </si>
  <si>
    <t xml:space="preserve">Package_TO_SOT_SMD:SOT-223-3_TabPin2</t>
  </si>
  <si>
    <t xml:space="preserve">Advanced Monolithic Systems</t>
  </si>
  <si>
    <t xml:space="preserve">C6186</t>
  </si>
  <si>
    <t xml:space="preserve">AMS1117-3.3(XBLW)</t>
  </si>
  <si>
    <t xml:space="preserve">XBLW</t>
  </si>
  <si>
    <t xml:space="preserve">C18906017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</si>
</sst>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"/>
    <numFmt numFmtId="166" formatCode="dd/mm/yy\ hh:mm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Ubuntu"/>
      <family val="0"/>
      <charset val="1"/>
    </font>
    <font>
      <b val="true"/>
      <sz val="14"/>
      <name val="Ubuntu"/>
      <family val="0"/>
      <charset val="1"/>
    </font>
    <font>
      <b val="true"/>
      <sz val="12"/>
      <name val="Ubuntu"/>
      <family val="0"/>
      <charset val="1"/>
    </font>
    <font>
      <b val="true"/>
      <sz val="11"/>
      <name val="Ubuntu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40"/>
  <sheetViews>
    <sheetView showFormulas="false" showGridLines="true" showRowColHeaders="true" showZeros="true" rightToLeft="false" tabSelected="true" showOutlineSymbols="true" defaultGridColor="true" view="normal" topLeftCell="A31" colorId="64" zoomScale="110" zoomScaleNormal="110" zoomScalePageLayoutView="100" workbookViewId="0">
      <selection pane="topLeft" activeCell="I41" activeCellId="0" sqref="I41"/>
    </sheetView>
  </sheetViews>
  <sheetFormatPr defaultColWidth="11.578125" defaultRowHeight="12.8" zeroHeight="false" outlineLevelRow="0" outlineLevelCol="0"/>
  <cols>
    <col collapsed="false" customWidth="true" hidden="false" outlineLevel="0" max="1" min="1" style="1" width="7.11"/>
    <col collapsed="false" customWidth="true" hidden="false" outlineLevel="0" max="2" min="2" style="2" width="25.44"/>
    <col collapsed="false" customWidth="true" hidden="false" outlineLevel="0" max="3" min="3" style="2" width="19.22"/>
    <col collapsed="false" customWidth="true" hidden="false" outlineLevel="0" max="4" min="4" style="2" width="31.95"/>
    <col collapsed="false" customWidth="true" hidden="false" outlineLevel="0" max="5" min="5" style="2" width="22.66"/>
    <col collapsed="false" customWidth="true" hidden="false" outlineLevel="0" max="6" min="6" style="2" width="16.67"/>
    <col collapsed="false" customWidth="true" hidden="false" outlineLevel="0" max="7" min="7" style="2" width="22.89"/>
    <col collapsed="false" customWidth="true" hidden="false" outlineLevel="0" max="8" min="8" style="2" width="16.89"/>
    <col collapsed="false" customWidth="true" hidden="false" outlineLevel="0" max="9" min="9" style="2" width="14.01"/>
    <col collapsed="false" customWidth="true" hidden="false" outlineLevel="0" max="10" min="10" style="2" width="4.44"/>
    <col collapsed="false" customWidth="true" hidden="false" outlineLevel="0" max="11" min="11" style="2" width="5.33"/>
    <col collapsed="false" customWidth="false" hidden="false" outlineLevel="0" max="1024" min="12" style="2" width="11.57"/>
  </cols>
  <sheetData>
    <row r="1" customFormat="false" ht="12.75" hidden="false" customHeight="true" outlineLevel="0" collapsed="false">
      <c r="A1" s="3" t="s">
        <v>0</v>
      </c>
      <c r="B1" s="3"/>
      <c r="C1" s="3"/>
    </row>
    <row r="2" customFormat="false" ht="12.8" hidden="false" customHeight="false" outlineLevel="0" collapsed="false">
      <c r="A2" s="3"/>
      <c r="B2" s="3"/>
      <c r="C2" s="3"/>
    </row>
    <row r="3" customFormat="false" ht="15" hidden="false" customHeight="true" outlineLevel="0" collapsed="false">
      <c r="A3" s="4" t="s">
        <v>1</v>
      </c>
      <c r="B3" s="4"/>
      <c r="C3" s="4"/>
      <c r="D3" s="5" t="s">
        <v>2</v>
      </c>
      <c r="E3" s="5"/>
      <c r="F3" s="6" t="n">
        <v>45838</v>
      </c>
      <c r="G3" s="6"/>
      <c r="H3" s="6"/>
      <c r="I3" s="6"/>
    </row>
    <row r="4" customFormat="false" ht="15" hidden="false" customHeight="true" outlineLevel="0" collapsed="false">
      <c r="A4" s="4" t="s">
        <v>3</v>
      </c>
      <c r="B4" s="4"/>
      <c r="C4" s="4"/>
      <c r="D4" s="5" t="s">
        <v>4</v>
      </c>
      <c r="E4" s="7" t="s">
        <v>5</v>
      </c>
      <c r="F4" s="8" t="n">
        <f aca="true">IF(F3="", NOW(), F3)</f>
        <v>45838</v>
      </c>
      <c r="G4" s="8"/>
      <c r="H4" s="8"/>
      <c r="I4" s="8"/>
    </row>
    <row r="5" customFormat="false" ht="15" hidden="false" customHeight="true" outlineLevel="0" collapsed="false">
      <c r="A5" s="4" t="s">
        <v>6</v>
      </c>
      <c r="B5" s="4"/>
      <c r="C5" s="4"/>
      <c r="D5" s="5" t="s">
        <v>7</v>
      </c>
      <c r="E5" s="7" t="s">
        <v>8</v>
      </c>
      <c r="F5" s="8" t="n">
        <f aca="true">NOW()</f>
        <v>45839.8705806958</v>
      </c>
      <c r="G5" s="8"/>
      <c r="H5" s="8"/>
      <c r="I5" s="8"/>
    </row>
    <row r="8" s="9" customFormat="true" ht="28.45" hidden="false" customHeight="false" outlineLevel="0" collapsed="false">
      <c r="A8" s="4" t="s">
        <v>9</v>
      </c>
      <c r="B8" s="4" t="s">
        <v>10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15</v>
      </c>
      <c r="H8" s="4" t="s">
        <v>16</v>
      </c>
      <c r="I8" s="4" t="s">
        <v>17</v>
      </c>
      <c r="J8" s="4" t="s">
        <v>18</v>
      </c>
      <c r="K8" s="4" t="s">
        <v>19</v>
      </c>
    </row>
    <row r="9" customFormat="false" ht="12.8" hidden="false" customHeight="false" outlineLevel="0" collapsed="false">
      <c r="A9" s="10" t="n">
        <v>1</v>
      </c>
      <c r="B9" s="5" t="s">
        <v>20</v>
      </c>
      <c r="C9" s="5" t="s">
        <v>21</v>
      </c>
      <c r="D9" s="5" t="s">
        <v>22</v>
      </c>
      <c r="E9" s="5" t="s">
        <v>23</v>
      </c>
      <c r="F9" s="5" t="s">
        <v>24</v>
      </c>
      <c r="G9" s="5" t="s">
        <v>25</v>
      </c>
      <c r="H9" s="5" t="s">
        <v>26</v>
      </c>
      <c r="I9" s="5" t="s">
        <v>27</v>
      </c>
      <c r="J9" s="5" t="n">
        <v>3</v>
      </c>
      <c r="K9" s="5"/>
    </row>
    <row r="10" customFormat="false" ht="24.4" hidden="false" customHeight="false" outlineLevel="0" collapsed="false">
      <c r="A10" s="10" t="n">
        <v>2</v>
      </c>
      <c r="B10" s="5" t="s">
        <v>28</v>
      </c>
      <c r="C10" s="5" t="s">
        <v>29</v>
      </c>
      <c r="D10" s="5" t="s">
        <v>30</v>
      </c>
      <c r="E10" s="5" t="s">
        <v>31</v>
      </c>
      <c r="F10" s="5" t="s">
        <v>32</v>
      </c>
      <c r="G10" s="5" t="s">
        <v>33</v>
      </c>
      <c r="H10" s="5" t="s">
        <v>34</v>
      </c>
      <c r="I10" s="5" t="s">
        <v>35</v>
      </c>
      <c r="J10" s="5" t="n">
        <v>1</v>
      </c>
      <c r="K10" s="5"/>
    </row>
    <row r="11" customFormat="false" ht="12.8" hidden="false" customHeight="false" outlineLevel="0" collapsed="false">
      <c r="A11" s="10" t="n">
        <v>3</v>
      </c>
      <c r="B11" s="5" t="s">
        <v>36</v>
      </c>
      <c r="C11" s="5" t="s">
        <v>37</v>
      </c>
      <c r="D11" s="5" t="s">
        <v>38</v>
      </c>
      <c r="E11" s="5" t="s">
        <v>37</v>
      </c>
      <c r="F11" s="5" t="s">
        <v>39</v>
      </c>
      <c r="G11" s="5"/>
      <c r="H11" s="5"/>
      <c r="I11" s="5"/>
      <c r="J11" s="5" t="n">
        <v>1</v>
      </c>
      <c r="K11" s="5"/>
    </row>
    <row r="12" customFormat="false" ht="24.4" hidden="false" customHeight="false" outlineLevel="0" collapsed="false">
      <c r="A12" s="10" t="n">
        <v>4</v>
      </c>
      <c r="B12" s="5" t="s">
        <v>40</v>
      </c>
      <c r="C12" s="5" t="s">
        <v>41</v>
      </c>
      <c r="D12" s="5" t="s">
        <v>42</v>
      </c>
      <c r="E12" s="5" t="s">
        <v>41</v>
      </c>
      <c r="F12" s="5" t="s">
        <v>43</v>
      </c>
      <c r="G12" s="5" t="s">
        <v>44</v>
      </c>
      <c r="H12" s="5" t="s">
        <v>45</v>
      </c>
      <c r="I12" s="5" t="s">
        <v>46</v>
      </c>
      <c r="J12" s="5" t="n">
        <v>3</v>
      </c>
      <c r="K12" s="5"/>
    </row>
    <row r="13" customFormat="false" ht="35.95" hidden="false" customHeight="false" outlineLevel="0" collapsed="false">
      <c r="A13" s="10" t="n">
        <v>5</v>
      </c>
      <c r="B13" s="5" t="s">
        <v>47</v>
      </c>
      <c r="C13" s="5" t="s">
        <v>48</v>
      </c>
      <c r="D13" s="5" t="s">
        <v>49</v>
      </c>
      <c r="E13" s="5" t="s">
        <v>50</v>
      </c>
      <c r="F13" s="5" t="s">
        <v>51</v>
      </c>
      <c r="G13" s="5" t="s">
        <v>50</v>
      </c>
      <c r="H13" s="5" t="s">
        <v>52</v>
      </c>
      <c r="I13" s="5" t="s">
        <v>53</v>
      </c>
      <c r="J13" s="5" t="n">
        <v>8</v>
      </c>
      <c r="K13" s="5"/>
    </row>
    <row r="14" customFormat="false" ht="12.8" hidden="false" customHeight="false" outlineLevel="0" collapsed="false">
      <c r="A14" s="10" t="n">
        <v>6</v>
      </c>
      <c r="B14" s="5" t="s">
        <v>54</v>
      </c>
      <c r="C14" s="5" t="s">
        <v>55</v>
      </c>
      <c r="D14" s="5" t="s">
        <v>56</v>
      </c>
      <c r="E14" s="5" t="s">
        <v>57</v>
      </c>
      <c r="F14" s="5" t="s">
        <v>58</v>
      </c>
      <c r="G14" s="5" t="s">
        <v>59</v>
      </c>
      <c r="H14" s="5" t="s">
        <v>60</v>
      </c>
      <c r="I14" s="5" t="s">
        <v>61</v>
      </c>
      <c r="J14" s="5" t="n">
        <v>6</v>
      </c>
      <c r="K14" s="5"/>
    </row>
    <row r="15" customFormat="false" ht="24.4" hidden="false" customHeight="false" outlineLevel="0" collapsed="false">
      <c r="A15" s="10" t="n">
        <v>7</v>
      </c>
      <c r="B15" s="5" t="s">
        <v>62</v>
      </c>
      <c r="C15" s="5" t="s">
        <v>63</v>
      </c>
      <c r="D15" s="5" t="s">
        <v>64</v>
      </c>
      <c r="E15" s="5" t="s">
        <v>65</v>
      </c>
      <c r="F15" s="5" t="s">
        <v>66</v>
      </c>
      <c r="G15" s="5" t="s">
        <v>65</v>
      </c>
      <c r="H15" s="5" t="s">
        <v>66</v>
      </c>
      <c r="I15" s="5" t="s">
        <v>67</v>
      </c>
      <c r="J15" s="5" t="n">
        <v>1</v>
      </c>
      <c r="K15" s="5"/>
    </row>
    <row r="16" customFormat="false" ht="24.4" hidden="false" customHeight="false" outlineLevel="0" collapsed="false">
      <c r="A16" s="10" t="n">
        <v>8</v>
      </c>
      <c r="B16" s="5" t="s">
        <v>68</v>
      </c>
      <c r="C16" s="5" t="s">
        <v>69</v>
      </c>
      <c r="D16" s="5" t="s">
        <v>70</v>
      </c>
      <c r="E16" s="5" t="s">
        <v>71</v>
      </c>
      <c r="F16" s="5" t="s">
        <v>72</v>
      </c>
      <c r="G16" s="5" t="s">
        <v>71</v>
      </c>
      <c r="H16" s="5" t="s">
        <v>72</v>
      </c>
      <c r="I16" s="5" t="s">
        <v>73</v>
      </c>
      <c r="J16" s="5" t="n">
        <v>2</v>
      </c>
      <c r="K16" s="5"/>
      <c r="L16" s="2" t="s">
        <v>74</v>
      </c>
    </row>
    <row r="17" customFormat="false" ht="35.95" hidden="false" customHeight="false" outlineLevel="0" collapsed="false">
      <c r="A17" s="10" t="n">
        <v>9</v>
      </c>
      <c r="B17" s="5" t="s">
        <v>75</v>
      </c>
      <c r="C17" s="5" t="s">
        <v>76</v>
      </c>
      <c r="D17" s="5" t="s">
        <v>77</v>
      </c>
      <c r="E17" s="5" t="s">
        <v>78</v>
      </c>
      <c r="F17" s="5" t="s">
        <v>51</v>
      </c>
      <c r="G17" s="5" t="s">
        <v>79</v>
      </c>
      <c r="H17" s="5" t="s">
        <v>52</v>
      </c>
      <c r="I17" s="5" t="s">
        <v>80</v>
      </c>
      <c r="J17" s="5" t="n">
        <v>2</v>
      </c>
      <c r="K17" s="5"/>
    </row>
    <row r="18" customFormat="false" ht="12.8" hidden="false" customHeight="false" outlineLevel="0" collapsed="false">
      <c r="A18" s="10" t="n">
        <v>10</v>
      </c>
      <c r="B18" s="5" t="s">
        <v>81</v>
      </c>
      <c r="C18" s="5" t="s">
        <v>82</v>
      </c>
      <c r="D18" s="5" t="s">
        <v>56</v>
      </c>
      <c r="E18" s="5" t="s">
        <v>83</v>
      </c>
      <c r="F18" s="5" t="s">
        <v>58</v>
      </c>
      <c r="G18" s="5" t="s">
        <v>84</v>
      </c>
      <c r="H18" s="5" t="s">
        <v>60</v>
      </c>
      <c r="I18" s="5" t="s">
        <v>85</v>
      </c>
      <c r="J18" s="5" t="n">
        <v>1</v>
      </c>
      <c r="K18" s="5"/>
    </row>
    <row r="19" customFormat="false" ht="24" hidden="false" customHeight="true" outlineLevel="0" collapsed="false">
      <c r="A19" s="10" t="n">
        <v>11</v>
      </c>
      <c r="B19" s="5" t="s">
        <v>86</v>
      </c>
      <c r="C19" s="5" t="s">
        <v>87</v>
      </c>
      <c r="D19" s="5" t="s">
        <v>88</v>
      </c>
      <c r="E19" s="5" t="s">
        <v>89</v>
      </c>
      <c r="F19" s="5" t="s">
        <v>58</v>
      </c>
      <c r="G19" s="5" t="s">
        <v>90</v>
      </c>
      <c r="H19" s="5" t="s">
        <v>91</v>
      </c>
      <c r="I19" s="5" t="s">
        <v>92</v>
      </c>
      <c r="J19" s="5" t="n">
        <v>2</v>
      </c>
      <c r="K19" s="5"/>
    </row>
    <row r="20" customFormat="false" ht="12.8" hidden="false" customHeight="false" outlineLevel="0" collapsed="false">
      <c r="A20" s="10" t="n">
        <v>12</v>
      </c>
      <c r="B20" s="5" t="s">
        <v>93</v>
      </c>
      <c r="C20" s="5" t="s">
        <v>94</v>
      </c>
      <c r="D20" s="5" t="s">
        <v>88</v>
      </c>
      <c r="E20" s="5" t="s">
        <v>95</v>
      </c>
      <c r="F20" s="5" t="s">
        <v>58</v>
      </c>
      <c r="G20" s="5" t="s">
        <v>96</v>
      </c>
      <c r="H20" s="5" t="s">
        <v>91</v>
      </c>
      <c r="I20" s="5" t="s">
        <v>97</v>
      </c>
      <c r="J20" s="5" t="n">
        <v>5</v>
      </c>
      <c r="K20" s="5"/>
    </row>
    <row r="21" customFormat="false" ht="24.4" hidden="false" customHeight="false" outlineLevel="0" collapsed="false">
      <c r="A21" s="10" t="n">
        <v>13</v>
      </c>
      <c r="B21" s="5" t="s">
        <v>98</v>
      </c>
      <c r="C21" s="5" t="s">
        <v>99</v>
      </c>
      <c r="D21" s="5" t="s">
        <v>100</v>
      </c>
      <c r="E21" s="5" t="s">
        <v>101</v>
      </c>
      <c r="F21" s="5" t="s">
        <v>102</v>
      </c>
      <c r="G21" s="5" t="s">
        <v>103</v>
      </c>
      <c r="H21" s="5" t="s">
        <v>104</v>
      </c>
      <c r="I21" s="5" t="s">
        <v>105</v>
      </c>
      <c r="J21" s="5" t="n">
        <v>2</v>
      </c>
      <c r="K21" s="5"/>
    </row>
    <row r="22" customFormat="false" ht="12.8" hidden="false" customHeight="false" outlineLevel="0" collapsed="false">
      <c r="A22" s="10" t="n">
        <v>14</v>
      </c>
      <c r="B22" s="5" t="s">
        <v>106</v>
      </c>
      <c r="C22" s="5" t="s">
        <v>107</v>
      </c>
      <c r="D22" s="5" t="s">
        <v>108</v>
      </c>
      <c r="E22" s="5" t="s">
        <v>107</v>
      </c>
      <c r="F22" s="5" t="s">
        <v>39</v>
      </c>
      <c r="G22" s="5"/>
      <c r="H22" s="5"/>
      <c r="I22" s="5"/>
      <c r="J22" s="5" t="n">
        <v>1</v>
      </c>
      <c r="K22" s="5"/>
    </row>
    <row r="23" customFormat="false" ht="12.8" hidden="false" customHeight="false" outlineLevel="0" collapsed="false">
      <c r="A23" s="10" t="n">
        <v>15</v>
      </c>
      <c r="B23" s="5" t="s">
        <v>109</v>
      </c>
      <c r="C23" s="5" t="s">
        <v>110</v>
      </c>
      <c r="D23" s="5" t="s">
        <v>111</v>
      </c>
      <c r="E23" s="5" t="s">
        <v>112</v>
      </c>
      <c r="F23" s="5" t="s">
        <v>113</v>
      </c>
      <c r="G23" s="5"/>
      <c r="H23" s="5"/>
      <c r="I23" s="5"/>
      <c r="J23" s="5" t="n">
        <v>1</v>
      </c>
      <c r="K23" s="5"/>
    </row>
    <row r="24" customFormat="false" ht="12.8" hidden="false" customHeight="false" outlineLevel="0" collapsed="false">
      <c r="A24" s="10" t="n">
        <v>16</v>
      </c>
      <c r="B24" s="5" t="s">
        <v>114</v>
      </c>
      <c r="C24" s="5" t="s">
        <v>115</v>
      </c>
      <c r="D24" s="5" t="s">
        <v>116</v>
      </c>
      <c r="E24" s="5" t="s">
        <v>117</v>
      </c>
      <c r="F24" s="5" t="s">
        <v>118</v>
      </c>
      <c r="G24" s="5" t="s">
        <v>119</v>
      </c>
      <c r="H24" s="5" t="s">
        <v>120</v>
      </c>
      <c r="I24" s="5" t="s">
        <v>121</v>
      </c>
      <c r="J24" s="5" t="n">
        <v>1</v>
      </c>
      <c r="K24" s="5"/>
    </row>
    <row r="25" customFormat="false" ht="35.95" hidden="false" customHeight="false" outlineLevel="0" collapsed="false">
      <c r="A25" s="10" t="n">
        <v>17</v>
      </c>
      <c r="B25" s="5" t="s">
        <v>122</v>
      </c>
      <c r="C25" s="5" t="s">
        <v>123</v>
      </c>
      <c r="D25" s="5" t="s">
        <v>124</v>
      </c>
      <c r="E25" s="5" t="s">
        <v>125</v>
      </c>
      <c r="F25" s="5" t="s">
        <v>126</v>
      </c>
      <c r="G25" s="5" t="s">
        <v>127</v>
      </c>
      <c r="H25" s="5" t="s">
        <v>128</v>
      </c>
      <c r="I25" s="5" t="s">
        <v>129</v>
      </c>
      <c r="J25" s="5" t="n">
        <v>1</v>
      </c>
      <c r="K25" s="5"/>
    </row>
    <row r="26" customFormat="false" ht="12.8" hidden="false" customHeight="false" outlineLevel="0" collapsed="false">
      <c r="A26" s="10" t="n">
        <v>18</v>
      </c>
      <c r="B26" s="5" t="s">
        <v>130</v>
      </c>
      <c r="C26" s="5" t="s">
        <v>131</v>
      </c>
      <c r="D26" s="5" t="s">
        <v>132</v>
      </c>
      <c r="E26" s="5" t="s">
        <v>131</v>
      </c>
      <c r="F26" s="5"/>
      <c r="G26" s="5"/>
      <c r="H26" s="5"/>
      <c r="I26" s="5"/>
      <c r="J26" s="5" t="n">
        <v>3</v>
      </c>
      <c r="K26" s="5"/>
    </row>
    <row r="27" customFormat="false" ht="12.8" hidden="false" customHeight="false" outlineLevel="0" collapsed="false">
      <c r="A27" s="10" t="n">
        <v>19</v>
      </c>
      <c r="B27" s="5" t="s">
        <v>133</v>
      </c>
      <c r="C27" s="5" t="s">
        <v>134</v>
      </c>
      <c r="D27" s="5" t="s">
        <v>132</v>
      </c>
      <c r="E27" s="5" t="s">
        <v>134</v>
      </c>
      <c r="F27" s="5" t="s">
        <v>135</v>
      </c>
      <c r="G27" s="5" t="s">
        <v>136</v>
      </c>
      <c r="H27" s="5" t="s">
        <v>137</v>
      </c>
      <c r="I27" s="5" t="s">
        <v>138</v>
      </c>
      <c r="J27" s="5" t="n">
        <v>2</v>
      </c>
      <c r="K27" s="5"/>
    </row>
    <row r="28" customFormat="false" ht="12.8" hidden="false" customHeight="false" outlineLevel="0" collapsed="false">
      <c r="A28" s="10" t="n">
        <v>20</v>
      </c>
      <c r="B28" s="5" t="s">
        <v>139</v>
      </c>
      <c r="C28" s="5" t="s">
        <v>140</v>
      </c>
      <c r="D28" s="5" t="s">
        <v>141</v>
      </c>
      <c r="E28" s="5" t="s">
        <v>140</v>
      </c>
      <c r="F28" s="5" t="s">
        <v>135</v>
      </c>
      <c r="G28" s="5" t="s">
        <v>142</v>
      </c>
      <c r="H28" s="5" t="s">
        <v>137</v>
      </c>
      <c r="I28" s="5" t="s">
        <v>143</v>
      </c>
      <c r="J28" s="5" t="n">
        <v>1</v>
      </c>
      <c r="K28" s="5"/>
    </row>
    <row r="29" customFormat="false" ht="24.4" hidden="false" customHeight="false" outlineLevel="0" collapsed="false">
      <c r="A29" s="10" t="n">
        <v>21</v>
      </c>
      <c r="B29" s="5" t="s">
        <v>144</v>
      </c>
      <c r="C29" s="5" t="s">
        <v>145</v>
      </c>
      <c r="D29" s="5" t="s">
        <v>146</v>
      </c>
      <c r="E29" s="5" t="s">
        <v>145</v>
      </c>
      <c r="F29" s="5" t="s">
        <v>147</v>
      </c>
      <c r="G29" s="5" t="s">
        <v>145</v>
      </c>
      <c r="H29" s="5" t="s">
        <v>148</v>
      </c>
      <c r="I29" s="5" t="s">
        <v>149</v>
      </c>
      <c r="J29" s="5" t="n">
        <v>1</v>
      </c>
      <c r="K29" s="5"/>
    </row>
    <row r="30" customFormat="false" ht="35.95" hidden="false" customHeight="false" outlineLevel="0" collapsed="false">
      <c r="A30" s="10" t="n">
        <v>22</v>
      </c>
      <c r="B30" s="5" t="s">
        <v>150</v>
      </c>
      <c r="C30" s="5" t="s">
        <v>151</v>
      </c>
      <c r="D30" s="5" t="s">
        <v>152</v>
      </c>
      <c r="E30" s="5" t="s">
        <v>153</v>
      </c>
      <c r="F30" s="5" t="s">
        <v>58</v>
      </c>
      <c r="G30" s="5" t="s">
        <v>154</v>
      </c>
      <c r="H30" s="5" t="s">
        <v>155</v>
      </c>
      <c r="I30" s="5" t="s">
        <v>156</v>
      </c>
      <c r="J30" s="5" t="n">
        <v>8</v>
      </c>
      <c r="K30" s="5"/>
    </row>
    <row r="31" customFormat="false" ht="35.95" hidden="false" customHeight="false" outlineLevel="0" collapsed="false">
      <c r="A31" s="10" t="n">
        <v>23</v>
      </c>
      <c r="B31" s="5" t="s">
        <v>157</v>
      </c>
      <c r="C31" s="5" t="s">
        <v>158</v>
      </c>
      <c r="D31" s="5" t="s">
        <v>152</v>
      </c>
      <c r="E31" s="5" t="s">
        <v>159</v>
      </c>
      <c r="F31" s="5" t="s">
        <v>58</v>
      </c>
      <c r="G31" s="5" t="s">
        <v>160</v>
      </c>
      <c r="H31" s="5" t="s">
        <v>155</v>
      </c>
      <c r="I31" s="5" t="s">
        <v>161</v>
      </c>
      <c r="J31" s="5" t="n">
        <v>13</v>
      </c>
      <c r="K31" s="5"/>
    </row>
    <row r="32" customFormat="false" ht="35.95" hidden="false" customHeight="false" outlineLevel="0" collapsed="false">
      <c r="A32" s="10" t="n">
        <v>24</v>
      </c>
      <c r="B32" s="5" t="s">
        <v>162</v>
      </c>
      <c r="C32" s="5" t="s">
        <v>163</v>
      </c>
      <c r="D32" s="5" t="s">
        <v>152</v>
      </c>
      <c r="E32" s="5" t="s">
        <v>164</v>
      </c>
      <c r="F32" s="5" t="s">
        <v>58</v>
      </c>
      <c r="G32" s="5" t="s">
        <v>165</v>
      </c>
      <c r="H32" s="5" t="s">
        <v>155</v>
      </c>
      <c r="I32" s="5" t="s">
        <v>166</v>
      </c>
      <c r="J32" s="5" t="n">
        <v>6</v>
      </c>
      <c r="K32" s="5"/>
    </row>
    <row r="33" customFormat="false" ht="35.95" hidden="false" customHeight="false" outlineLevel="0" collapsed="false">
      <c r="A33" s="10" t="n">
        <v>25</v>
      </c>
      <c r="B33" s="5" t="s">
        <v>167</v>
      </c>
      <c r="C33" s="5" t="s">
        <v>168</v>
      </c>
      <c r="D33" s="5" t="s">
        <v>152</v>
      </c>
      <c r="E33" s="5" t="s">
        <v>169</v>
      </c>
      <c r="F33" s="5" t="s">
        <v>58</v>
      </c>
      <c r="G33" s="5" t="s">
        <v>170</v>
      </c>
      <c r="H33" s="5" t="s">
        <v>155</v>
      </c>
      <c r="I33" s="5" t="s">
        <v>171</v>
      </c>
      <c r="J33" s="5" t="n">
        <v>1</v>
      </c>
      <c r="K33" s="5"/>
    </row>
    <row r="34" customFormat="false" ht="35.95" hidden="false" customHeight="false" outlineLevel="0" collapsed="false">
      <c r="A34" s="10" t="n">
        <v>26</v>
      </c>
      <c r="B34" s="5" t="s">
        <v>172</v>
      </c>
      <c r="C34" s="5" t="s">
        <v>173</v>
      </c>
      <c r="D34" s="5" t="s">
        <v>152</v>
      </c>
      <c r="E34" s="5" t="s">
        <v>174</v>
      </c>
      <c r="F34" s="5" t="s">
        <v>58</v>
      </c>
      <c r="G34" s="5" t="s">
        <v>175</v>
      </c>
      <c r="H34" s="5" t="s">
        <v>155</v>
      </c>
      <c r="I34" s="5" t="s">
        <v>176</v>
      </c>
      <c r="J34" s="5" t="n">
        <v>3</v>
      </c>
      <c r="K34" s="5"/>
    </row>
    <row r="35" customFormat="false" ht="35.95" hidden="false" customHeight="false" outlineLevel="0" collapsed="false">
      <c r="A35" s="10" t="n">
        <v>27</v>
      </c>
      <c r="B35" s="5" t="s">
        <v>177</v>
      </c>
      <c r="C35" s="5" t="s">
        <v>178</v>
      </c>
      <c r="D35" s="5" t="s">
        <v>152</v>
      </c>
      <c r="E35" s="5" t="s">
        <v>179</v>
      </c>
      <c r="F35" s="5" t="s">
        <v>58</v>
      </c>
      <c r="G35" s="5" t="s">
        <v>180</v>
      </c>
      <c r="H35" s="5" t="s">
        <v>155</v>
      </c>
      <c r="I35" s="5" t="s">
        <v>181</v>
      </c>
      <c r="J35" s="5" t="n">
        <v>3</v>
      </c>
      <c r="K35" s="5"/>
    </row>
    <row r="36" customFormat="false" ht="35.95" hidden="false" customHeight="false" outlineLevel="0" collapsed="false">
      <c r="A36" s="10" t="n">
        <v>28</v>
      </c>
      <c r="B36" s="5" t="s">
        <v>182</v>
      </c>
      <c r="C36" s="5" t="s">
        <v>183</v>
      </c>
      <c r="D36" s="5" t="s">
        <v>152</v>
      </c>
      <c r="E36" s="5" t="s">
        <v>184</v>
      </c>
      <c r="F36" s="5" t="s">
        <v>58</v>
      </c>
      <c r="G36" s="5" t="s">
        <v>185</v>
      </c>
      <c r="H36" s="5" t="s">
        <v>155</v>
      </c>
      <c r="I36" s="5" t="s">
        <v>186</v>
      </c>
      <c r="J36" s="5" t="n">
        <v>1</v>
      </c>
      <c r="K36" s="5"/>
    </row>
    <row r="37" customFormat="false" ht="12.8" hidden="false" customHeight="false" outlineLevel="0" collapsed="false">
      <c r="A37" s="10" t="n">
        <v>29</v>
      </c>
      <c r="B37" s="5" t="s">
        <v>187</v>
      </c>
      <c r="C37" s="5" t="s">
        <v>188</v>
      </c>
      <c r="D37" s="5" t="s">
        <v>146</v>
      </c>
      <c r="E37" s="5" t="s">
        <v>189</v>
      </c>
      <c r="F37" s="5" t="s">
        <v>190</v>
      </c>
      <c r="G37" s="5"/>
      <c r="H37" s="5"/>
      <c r="I37" s="5"/>
      <c r="J37" s="5" t="n">
        <v>1</v>
      </c>
      <c r="K37" s="5"/>
    </row>
    <row r="38" customFormat="false" ht="12.8" hidden="false" customHeight="false" outlineLevel="0" collapsed="false">
      <c r="A38" s="10" t="n">
        <v>30</v>
      </c>
      <c r="B38" s="5" t="s">
        <v>191</v>
      </c>
      <c r="C38" s="5" t="s">
        <v>192</v>
      </c>
      <c r="D38" s="5" t="s">
        <v>193</v>
      </c>
      <c r="E38" s="5" t="s">
        <v>192</v>
      </c>
      <c r="F38" s="5" t="s">
        <v>194</v>
      </c>
      <c r="G38" s="5" t="s">
        <v>192</v>
      </c>
      <c r="H38" s="5" t="s">
        <v>194</v>
      </c>
      <c r="I38" s="5" t="s">
        <v>195</v>
      </c>
      <c r="J38" s="5" t="n">
        <v>1</v>
      </c>
      <c r="K38" s="5"/>
    </row>
    <row r="39" customFormat="false" ht="35.95" hidden="false" customHeight="false" outlineLevel="0" collapsed="false">
      <c r="A39" s="10" t="n">
        <v>31</v>
      </c>
      <c r="B39" s="5" t="s">
        <v>196</v>
      </c>
      <c r="C39" s="5" t="s">
        <v>197</v>
      </c>
      <c r="D39" s="5" t="s">
        <v>198</v>
      </c>
      <c r="E39" s="5" t="s">
        <v>199</v>
      </c>
      <c r="F39" s="5" t="s">
        <v>200</v>
      </c>
      <c r="G39" s="5" t="s">
        <v>201</v>
      </c>
      <c r="H39" s="5" t="s">
        <v>120</v>
      </c>
      <c r="I39" s="5" t="s">
        <v>202</v>
      </c>
      <c r="J39" s="5" t="n">
        <v>1</v>
      </c>
      <c r="K39" s="5"/>
    </row>
    <row r="40" customFormat="false" ht="35.95" hidden="false" customHeight="false" outlineLevel="0" collapsed="false">
      <c r="A40" s="10" t="n">
        <v>32</v>
      </c>
      <c r="B40" s="5" t="s">
        <v>203</v>
      </c>
      <c r="C40" s="5" t="s">
        <v>204</v>
      </c>
      <c r="D40" s="5" t="s">
        <v>205</v>
      </c>
      <c r="E40" s="5" t="s">
        <v>204</v>
      </c>
      <c r="F40" s="5" t="s">
        <v>206</v>
      </c>
      <c r="G40" s="5" t="s">
        <v>204</v>
      </c>
      <c r="H40" s="5" t="s">
        <v>206</v>
      </c>
      <c r="I40" s="5" t="s">
        <v>207</v>
      </c>
      <c r="J40" s="5" t="n">
        <v>1</v>
      </c>
      <c r="K40" s="5"/>
      <c r="M40" s="2" t="s">
        <v>208</v>
      </c>
      <c r="N40" s="2" t="s">
        <v>209</v>
      </c>
      <c r="O40" s="2" t="s">
        <v>210</v>
      </c>
    </row>
  </sheetData>
  <mergeCells count="4">
    <mergeCell ref="A1:C2"/>
    <mergeCell ref="A3:C3"/>
    <mergeCell ref="A4:C4"/>
    <mergeCell ref="A5:C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2025-07-01T20:53:37Z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98273d-f5aa-46da-8e10-241f6dcd5f2d_ActionId">
    <vt:lpwstr>4f65cb58-a314-485f-9a3e-e61093dc7c44</vt:lpwstr>
  </property>
  <property fmtid="{D5CDD505-2E9C-101B-9397-08002B2CF9AE}" pid="3" name="MSIP_Label_e798273d-f5aa-46da-8e10-241f6dcd5f2d_ContentBits">
    <vt:lpwstr>0</vt:lpwstr>
  </property>
  <property fmtid="{D5CDD505-2E9C-101B-9397-08002B2CF9AE}" pid="4" name="MSIP_Label_e798273d-f5aa-46da-8e10-241f6dcd5f2d_Enabled">
    <vt:lpwstr>true</vt:lpwstr>
  </property>
  <property fmtid="{D5CDD505-2E9C-101B-9397-08002B2CF9AE}" pid="5" name="MSIP_Label_e798273d-f5aa-46da-8e10-241f6dcd5f2d_Method">
    <vt:lpwstr>Standard</vt:lpwstr>
  </property>
  <property fmtid="{D5CDD505-2E9C-101B-9397-08002B2CF9AE}" pid="6" name="MSIP_Label_e798273d-f5aa-46da-8e10-241f6dcd5f2d_Name">
    <vt:lpwstr>e798273d-f5aa-46da-8e10-241f6dcd5f2d</vt:lpwstr>
  </property>
  <property fmtid="{D5CDD505-2E9C-101B-9397-08002B2CF9AE}" pid="7" name="MSIP_Label_e798273d-f5aa-46da-8e10-241f6dcd5f2d_SetDate">
    <vt:lpwstr>2025-07-01T05:24:32Z</vt:lpwstr>
  </property>
  <property fmtid="{D5CDD505-2E9C-101B-9397-08002B2CF9AE}" pid="8" name="MSIP_Label_e798273d-f5aa-46da-8e10-241f6dcd5f2d_SiteId">
    <vt:lpwstr>c760270c-f3da-4cfa-9737-03808ef5579f</vt:lpwstr>
  </property>
</Properties>
</file>